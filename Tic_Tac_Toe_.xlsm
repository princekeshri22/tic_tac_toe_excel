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ipak\Desktop\Prince\GitHub\TIC_TAC_TOE_EXCEL\"/>
    </mc:Choice>
  </mc:AlternateContent>
  <bookViews>
    <workbookView xWindow="0" yWindow="0" windowWidth="20400" windowHeight="7620"/>
  </bookViews>
  <sheets>
    <sheet name="Tic_Tac_Toe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2" i="1" l="1"/>
  <c r="F152" i="1"/>
  <c r="E152" i="1"/>
  <c r="G151" i="1"/>
  <c r="F151" i="1"/>
  <c r="E151" i="1"/>
  <c r="G150" i="1"/>
  <c r="F150" i="1"/>
  <c r="E150" i="1"/>
  <c r="B150" i="1"/>
  <c r="K150" i="1" l="1"/>
  <c r="O150" i="1"/>
  <c r="I152" i="1"/>
  <c r="C158" i="1" s="1"/>
  <c r="M152" i="1"/>
  <c r="I151" i="1"/>
  <c r="C157" i="1" s="1"/>
  <c r="M151" i="1"/>
  <c r="J152" i="1"/>
  <c r="N152" i="1"/>
  <c r="I150" i="1"/>
  <c r="C156" i="1" s="1"/>
  <c r="M150" i="1"/>
  <c r="J151" i="1"/>
  <c r="N151" i="1"/>
  <c r="K152" i="1"/>
  <c r="O152" i="1"/>
  <c r="J150" i="1"/>
  <c r="C160" i="1" s="1"/>
  <c r="N150" i="1"/>
  <c r="K151" i="1"/>
  <c r="O151" i="1"/>
  <c r="I161" i="1" l="1"/>
  <c r="E8" i="1" s="1"/>
  <c r="B158" i="1"/>
  <c r="B163" i="1"/>
  <c r="B157" i="1"/>
  <c r="B160" i="1"/>
  <c r="B161" i="1"/>
  <c r="B162" i="1"/>
  <c r="C159" i="1"/>
  <c r="B156" i="1"/>
  <c r="C161" i="1"/>
  <c r="B159" i="1"/>
  <c r="C163" i="1"/>
  <c r="C162" i="1"/>
  <c r="E158" i="1" l="1"/>
  <c r="J157" i="1" s="1"/>
  <c r="G158" i="1"/>
</calcChain>
</file>

<file path=xl/sharedStrings.xml><?xml version="1.0" encoding="utf-8"?>
<sst xmlns="http://schemas.openxmlformats.org/spreadsheetml/2006/main" count="12" uniqueCount="11">
  <si>
    <t>\</t>
  </si>
  <si>
    <t>Points</t>
  </si>
  <si>
    <t>X</t>
  </si>
  <si>
    <t>O</t>
  </si>
  <si>
    <t>Format</t>
  </si>
  <si>
    <t>Condition</t>
  </si>
  <si>
    <t>Value</t>
  </si>
  <si>
    <t>Condition_B</t>
  </si>
  <si>
    <t>Value(X/O)</t>
  </si>
  <si>
    <t>Draw</t>
  </si>
  <si>
    <t>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</si>
</sst>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i/>
      <sz val="18"/>
      <color rgb="FF000000"/>
      <name val="Algerian"/>
      <family val="5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sz val="7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0">
    <border>
      <left/>
      <right/>
      <top/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/>
      <right/>
      <top style="thin">
        <color theme="2"/>
      </top>
      <bottom/>
      <diagonal/>
    </border>
    <border>
      <left/>
      <right/>
      <top/>
      <bottom style="thin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theme="2"/>
      </right>
      <top style="medium">
        <color theme="2"/>
      </top>
      <bottom/>
      <diagonal/>
    </border>
    <border>
      <left style="thin">
        <color theme="2"/>
      </left>
      <right/>
      <top style="medium">
        <color theme="2"/>
      </top>
      <bottom/>
      <diagonal/>
    </border>
    <border>
      <left/>
      <right/>
      <top style="medium">
        <color theme="2"/>
      </top>
      <bottom/>
      <diagonal/>
    </border>
    <border>
      <left/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/>
      <top/>
      <bottom/>
      <diagonal/>
    </border>
    <border>
      <left/>
      <right style="medium">
        <color theme="2"/>
      </right>
      <top/>
      <bottom/>
      <diagonal/>
    </border>
    <border>
      <left style="medium">
        <color theme="2"/>
      </left>
      <right/>
      <top/>
      <bottom style="thin">
        <color theme="2"/>
      </bottom>
      <diagonal/>
    </border>
    <border>
      <left/>
      <right style="medium">
        <color theme="2"/>
      </right>
      <top/>
      <bottom style="thin">
        <color theme="2"/>
      </bottom>
      <diagonal/>
    </border>
    <border>
      <left/>
      <right style="medium">
        <color theme="2"/>
      </right>
      <top style="thin">
        <color theme="2"/>
      </top>
      <bottom/>
      <diagonal/>
    </border>
    <border>
      <left style="medium">
        <color theme="2"/>
      </left>
      <right/>
      <top/>
      <bottom style="medium">
        <color theme="2"/>
      </bottom>
      <diagonal/>
    </border>
    <border>
      <left/>
      <right/>
      <top/>
      <bottom style="medium">
        <color theme="2"/>
      </bottom>
      <diagonal/>
    </border>
    <border>
      <left style="thin">
        <color theme="2"/>
      </left>
      <right/>
      <top/>
      <bottom style="medium">
        <color theme="2"/>
      </bottom>
      <diagonal/>
    </border>
    <border>
      <left/>
      <right style="thin">
        <color theme="2"/>
      </right>
      <top/>
      <bottom style="medium">
        <color theme="2"/>
      </bottom>
      <diagonal/>
    </border>
    <border>
      <left/>
      <right style="medium">
        <color theme="2"/>
      </right>
      <top/>
      <bottom style="medium">
        <color theme="2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thin">
        <color indexed="64"/>
      </bottom>
      <diagonal/>
    </border>
    <border>
      <left style="medium">
        <color rgb="FF00B050"/>
      </left>
      <right style="medium">
        <color rgb="FF00B050"/>
      </right>
      <top style="thin">
        <color indexed="64"/>
      </top>
      <bottom style="thin">
        <color indexed="64"/>
      </bottom>
      <diagonal/>
    </border>
    <border>
      <left style="medium">
        <color rgb="FF00B050"/>
      </left>
      <right style="medium">
        <color rgb="FF00B050"/>
      </right>
      <top style="thin">
        <color indexed="64"/>
      </top>
      <bottom style="medium">
        <color rgb="FF00B050"/>
      </bottom>
      <diagonal/>
    </border>
    <border>
      <left style="medium">
        <color rgb="FF00B050"/>
      </left>
      <right style="medium">
        <color rgb="FF00B050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/>
    <xf numFmtId="0" fontId="0" fillId="2" borderId="0" xfId="0" applyFill="1" applyBorder="1"/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0" fillId="2" borderId="25" xfId="0" applyFill="1" applyBorder="1"/>
    <xf numFmtId="0" fontId="0" fillId="6" borderId="30" xfId="0" applyFill="1" applyBorder="1"/>
    <xf numFmtId="0" fontId="4" fillId="2" borderId="0" xfId="0" applyFont="1" applyFill="1" applyAlignment="1">
      <alignment vertical="center"/>
    </xf>
    <xf numFmtId="0" fontId="0" fillId="7" borderId="30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/>
    </xf>
    <xf numFmtId="0" fontId="0" fillId="6" borderId="35" xfId="0" applyFill="1" applyBorder="1"/>
    <xf numFmtId="0" fontId="0" fillId="6" borderId="31" xfId="0" applyFill="1" applyBorder="1"/>
    <xf numFmtId="0" fontId="0" fillId="6" borderId="33" xfId="0" applyFill="1" applyBorder="1"/>
    <xf numFmtId="0" fontId="0" fillId="10" borderId="30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7" borderId="37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7" borderId="38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6" borderId="34" xfId="0" applyFill="1" applyBorder="1"/>
    <xf numFmtId="0" fontId="0" fillId="6" borderId="35" xfId="0" applyFill="1" applyBorder="1" applyAlignment="1">
      <alignment vertical="center"/>
    </xf>
    <xf numFmtId="0" fontId="3" fillId="6" borderId="35" xfId="0" applyFont="1" applyFill="1" applyBorder="1" applyAlignment="1">
      <alignment horizontal="center" vertical="center"/>
    </xf>
    <xf numFmtId="0" fontId="0" fillId="6" borderId="43" xfId="0" applyFill="1" applyBorder="1"/>
    <xf numFmtId="0" fontId="0" fillId="0" borderId="30" xfId="0" applyBorder="1"/>
    <xf numFmtId="0" fontId="0" fillId="5" borderId="30" xfId="0" applyFill="1" applyBorder="1" applyAlignment="1">
      <alignment horizontal="center" vertical="center"/>
    </xf>
    <xf numFmtId="0" fontId="0" fillId="7" borderId="33" xfId="0" applyFill="1" applyBorder="1" applyAlignment="1">
      <alignment horizontal="center" vertical="center"/>
    </xf>
    <xf numFmtId="0" fontId="0" fillId="8" borderId="33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7" borderId="55" xfId="0" applyFill="1" applyBorder="1" applyAlignment="1">
      <alignment horizontal="center" vertical="center"/>
    </xf>
    <xf numFmtId="0" fontId="0" fillId="10" borderId="50" xfId="0" applyFill="1" applyBorder="1" applyAlignment="1">
      <alignment horizontal="center" vertical="center"/>
    </xf>
    <xf numFmtId="0" fontId="0" fillId="6" borderId="32" xfId="0" applyFill="1" applyBorder="1"/>
    <xf numFmtId="0" fontId="0" fillId="12" borderId="40" xfId="0" applyFill="1" applyBorder="1" applyAlignment="1">
      <alignment horizontal="center" vertical="center"/>
    </xf>
    <xf numFmtId="0" fontId="0" fillId="12" borderId="41" xfId="0" applyFill="1" applyBorder="1" applyAlignment="1">
      <alignment horizontal="center" vertical="center"/>
    </xf>
    <xf numFmtId="0" fontId="0" fillId="12" borderId="42" xfId="0" applyFill="1" applyBorder="1" applyAlignment="1">
      <alignment horizontal="center" vertical="center"/>
    </xf>
    <xf numFmtId="0" fontId="0" fillId="12" borderId="43" xfId="0" applyFill="1" applyBorder="1" applyAlignment="1">
      <alignment horizontal="center" vertical="center"/>
    </xf>
    <xf numFmtId="0" fontId="6" fillId="12" borderId="40" xfId="0" applyFont="1" applyFill="1" applyBorder="1" applyAlignment="1">
      <alignment horizontal="center" vertical="center"/>
    </xf>
    <xf numFmtId="0" fontId="6" fillId="12" borderId="41" xfId="0" applyFont="1" applyFill="1" applyBorder="1" applyAlignment="1">
      <alignment horizontal="center" vertical="center"/>
    </xf>
    <xf numFmtId="0" fontId="6" fillId="12" borderId="42" xfId="0" applyFont="1" applyFill="1" applyBorder="1" applyAlignment="1">
      <alignment horizontal="center" vertical="center"/>
    </xf>
    <xf numFmtId="0" fontId="6" fillId="12" borderId="43" xfId="0" applyFont="1" applyFill="1" applyBorder="1" applyAlignment="1">
      <alignment horizontal="center" vertical="center"/>
    </xf>
    <xf numFmtId="0" fontId="0" fillId="6" borderId="32" xfId="0" applyFill="1" applyBorder="1" applyAlignment="1">
      <alignment horizontal="center"/>
    </xf>
    <xf numFmtId="0" fontId="0" fillId="11" borderId="34" xfId="0" applyFill="1" applyBorder="1" applyAlignment="1">
      <alignment horizontal="center" vertical="center"/>
    </xf>
    <xf numFmtId="0" fontId="0" fillId="11" borderId="36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 vertical="center"/>
    </xf>
    <xf numFmtId="0" fontId="0" fillId="9" borderId="35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0" fillId="9" borderId="35" xfId="0" applyFill="1" applyBorder="1" applyAlignment="1">
      <alignment horizontal="center"/>
    </xf>
    <xf numFmtId="0" fontId="0" fillId="13" borderId="44" xfId="0" applyFill="1" applyBorder="1" applyAlignment="1">
      <alignment horizontal="center"/>
    </xf>
    <xf numFmtId="0" fontId="0" fillId="13" borderId="45" xfId="0" applyFill="1" applyBorder="1" applyAlignment="1">
      <alignment horizontal="center"/>
    </xf>
    <xf numFmtId="0" fontId="0" fillId="14" borderId="46" xfId="0" applyFill="1" applyBorder="1" applyAlignment="1">
      <alignment horizontal="center" vertical="center"/>
    </xf>
    <xf numFmtId="0" fontId="0" fillId="14" borderId="47" xfId="0" applyFill="1" applyBorder="1" applyAlignment="1">
      <alignment horizontal="center" vertical="center"/>
    </xf>
    <xf numFmtId="0" fontId="0" fillId="14" borderId="48" xfId="0" applyFill="1" applyBorder="1" applyAlignment="1">
      <alignment horizontal="center" vertical="center"/>
    </xf>
    <xf numFmtId="0" fontId="0" fillId="14" borderId="49" xfId="0" applyFill="1" applyBorder="1" applyAlignment="1">
      <alignment horizontal="center" vertical="center"/>
    </xf>
    <xf numFmtId="0" fontId="0" fillId="6" borderId="33" xfId="0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5" fillId="11" borderId="29" xfId="0" applyFont="1" applyFill="1" applyBorder="1" applyAlignment="1">
      <alignment horizontal="center" vertical="center"/>
    </xf>
    <xf numFmtId="0" fontId="5" fillId="11" borderId="25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7" fillId="10" borderId="51" xfId="0" applyFont="1" applyFill="1" applyBorder="1" applyAlignment="1">
      <alignment horizontal="center" vertical="center"/>
    </xf>
    <xf numFmtId="0" fontId="7" fillId="10" borderId="54" xfId="0" applyFont="1" applyFill="1" applyBorder="1" applyAlignment="1">
      <alignment horizontal="center" vertical="center"/>
    </xf>
    <xf numFmtId="0" fontId="8" fillId="14" borderId="51" xfId="0" applyFont="1" applyFill="1" applyBorder="1" applyAlignment="1">
      <alignment horizontal="center" vertical="center"/>
    </xf>
    <xf numFmtId="0" fontId="8" fillId="14" borderId="52" xfId="0" applyFont="1" applyFill="1" applyBorder="1" applyAlignment="1">
      <alignment horizontal="center" vertical="center"/>
    </xf>
    <xf numFmtId="0" fontId="8" fillId="14" borderId="53" xfId="0" applyFont="1" applyFill="1" applyBorder="1" applyAlignment="1">
      <alignment horizontal="center" vertical="center"/>
    </xf>
    <xf numFmtId="0" fontId="0" fillId="13" borderId="56" xfId="0" applyFill="1" applyBorder="1" applyAlignment="1">
      <alignment horizontal="center" vertical="center"/>
    </xf>
    <xf numFmtId="0" fontId="0" fillId="13" borderId="57" xfId="0" applyFill="1" applyBorder="1" applyAlignment="1">
      <alignment horizontal="center" vertical="center"/>
    </xf>
    <xf numFmtId="0" fontId="0" fillId="13" borderId="58" xfId="0" applyFill="1" applyBorder="1" applyAlignment="1">
      <alignment horizontal="center" vertical="center"/>
    </xf>
    <xf numFmtId="0" fontId="0" fillId="13" borderId="59" xfId="0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10</xdr:row>
          <xdr:rowOff>152400</xdr:rowOff>
        </xdr:from>
        <xdr:to>
          <xdr:col>19</xdr:col>
          <xdr:colOff>257175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800" b="1" i="1" u="none" strike="noStrike" baseline="0">
                  <a:solidFill>
                    <a:srgbClr val="000000"/>
                  </a:solidFill>
                  <a:latin typeface="Algerian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371475</xdr:colOff>
          <xdr:row>4</xdr:row>
          <xdr:rowOff>9525</xdr:rowOff>
        </xdr:from>
        <xdr:to>
          <xdr:col>19</xdr:col>
          <xdr:colOff>228600</xdr:colOff>
          <xdr:row>7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800" b="1" i="1" u="none" strike="noStrike" baseline="0">
                  <a:solidFill>
                    <a:srgbClr val="000000"/>
                  </a:solidFill>
                  <a:latin typeface="Algerian"/>
                </a:rPr>
                <a:t>Reset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6</xdr:row>
          <xdr:rowOff>171450</xdr:rowOff>
        </xdr:from>
        <xdr:to>
          <xdr:col>7</xdr:col>
          <xdr:colOff>552450</xdr:colOff>
          <xdr:row>7</xdr:row>
          <xdr:rowOff>152400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IN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171450</xdr:rowOff>
        </xdr:from>
        <xdr:to>
          <xdr:col>9</xdr:col>
          <xdr:colOff>561975</xdr:colOff>
          <xdr:row>7</xdr:row>
          <xdr:rowOff>152400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IN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6</xdr:row>
          <xdr:rowOff>190500</xdr:rowOff>
        </xdr:from>
        <xdr:to>
          <xdr:col>11</xdr:col>
          <xdr:colOff>571500</xdr:colOff>
          <xdr:row>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IN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10</xdr:row>
          <xdr:rowOff>47625</xdr:rowOff>
        </xdr:from>
        <xdr:to>
          <xdr:col>7</xdr:col>
          <xdr:colOff>571500</xdr:colOff>
          <xdr:row>11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IN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10</xdr:row>
          <xdr:rowOff>57150</xdr:rowOff>
        </xdr:from>
        <xdr:to>
          <xdr:col>9</xdr:col>
          <xdr:colOff>561975</xdr:colOff>
          <xdr:row>11</xdr:row>
          <xdr:rowOff>133350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IN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10</xdr:row>
          <xdr:rowOff>57150</xdr:rowOff>
        </xdr:from>
        <xdr:to>
          <xdr:col>11</xdr:col>
          <xdr:colOff>581025</xdr:colOff>
          <xdr:row>11</xdr:row>
          <xdr:rowOff>133350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IN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66675</xdr:rowOff>
        </xdr:from>
        <xdr:to>
          <xdr:col>7</xdr:col>
          <xdr:colOff>561975</xdr:colOff>
          <xdr:row>15</xdr:row>
          <xdr:rowOff>152400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IN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14</xdr:row>
          <xdr:rowOff>38100</xdr:rowOff>
        </xdr:from>
        <xdr:to>
          <xdr:col>9</xdr:col>
          <xdr:colOff>561975</xdr:colOff>
          <xdr:row>15</xdr:row>
          <xdr:rowOff>114300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IN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14</xdr:row>
          <xdr:rowOff>57150</xdr:rowOff>
        </xdr:from>
        <xdr:to>
          <xdr:col>11</xdr:col>
          <xdr:colOff>552450</xdr:colOff>
          <xdr:row>15</xdr:row>
          <xdr:rowOff>133350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IN"/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116417</xdr:colOff>
      <xdr:row>149</xdr:row>
      <xdr:rowOff>31750</xdr:rowOff>
    </xdr:from>
    <xdr:to>
      <xdr:col>7</xdr:col>
      <xdr:colOff>529167</xdr:colOff>
      <xdr:row>151</xdr:row>
      <xdr:rowOff>116416</xdr:rowOff>
    </xdr:to>
    <xdr:sp macro="" textlink="">
      <xdr:nvSpPr>
        <xdr:cNvPr id="2" name="Right Arrow 1"/>
        <xdr:cNvSpPr/>
      </xdr:nvSpPr>
      <xdr:spPr>
        <a:xfrm>
          <a:off x="4783667" y="28998333"/>
          <a:ext cx="412750" cy="476250"/>
        </a:xfrm>
        <a:prstGeom prst="rightArrow">
          <a:avLst>
            <a:gd name="adj1" fmla="val 50000"/>
            <a:gd name="adj2" fmla="val 3974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95249</xdr:colOff>
      <xdr:row>149</xdr:row>
      <xdr:rowOff>31750</xdr:rowOff>
    </xdr:from>
    <xdr:to>
      <xdr:col>11</xdr:col>
      <xdr:colOff>550332</xdr:colOff>
      <xdr:row>151</xdr:row>
      <xdr:rowOff>127000</xdr:rowOff>
    </xdr:to>
    <xdr:sp macro="" textlink="">
      <xdr:nvSpPr>
        <xdr:cNvPr id="3" name="Right Arrow 2"/>
        <xdr:cNvSpPr/>
      </xdr:nvSpPr>
      <xdr:spPr>
        <a:xfrm>
          <a:off x="7217832" y="28998333"/>
          <a:ext cx="455083" cy="486834"/>
        </a:xfrm>
        <a:prstGeom prst="rightArrow">
          <a:avLst>
            <a:gd name="adj1" fmla="val 50000"/>
            <a:gd name="adj2" fmla="val 4047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261"/>
  <sheetViews>
    <sheetView showGridLines="0" showRowColHeaders="0" tabSelected="1" zoomScale="90" zoomScaleNormal="90" workbookViewId="0">
      <selection activeCell="B130" sqref="B130"/>
    </sheetView>
  </sheetViews>
  <sheetFormatPr defaultRowHeight="15" x14ac:dyDescent="0.25"/>
  <cols>
    <col min="2" max="2" width="12.140625" customWidth="1"/>
    <col min="3" max="3" width="13.140625" customWidth="1"/>
    <col min="4" max="4" width="5.85546875" customWidth="1"/>
    <col min="5" max="5" width="14" customWidth="1"/>
    <col min="6" max="6" width="6.28515625" customWidth="1"/>
  </cols>
  <sheetData>
    <row r="1" spans="1:4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</row>
    <row r="2" spans="1:48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x14ac:dyDescent="0.25">
      <c r="A3" s="1"/>
      <c r="B3" s="1"/>
      <c r="C3" s="1"/>
      <c r="D3" s="2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 ht="15.75" thickBot="1" x14ac:dyDescent="0.3">
      <c r="A4" s="1"/>
      <c r="B4" s="1"/>
      <c r="C4" s="1"/>
      <c r="D4" s="2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</row>
    <row r="5" spans="1:48" ht="12" customHeight="1" thickBot="1" x14ac:dyDescent="0.3">
      <c r="A5" s="1"/>
      <c r="B5" s="1"/>
      <c r="C5" s="1"/>
      <c r="D5" s="1"/>
      <c r="E5" s="1"/>
      <c r="F5" s="1"/>
      <c r="G5" s="82"/>
      <c r="H5" s="83"/>
      <c r="I5" s="86"/>
      <c r="J5" s="83"/>
      <c r="K5" s="88"/>
      <c r="L5" s="89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</row>
    <row r="6" spans="1:48" ht="24.75" customHeight="1" thickBot="1" x14ac:dyDescent="0.3">
      <c r="A6" s="1"/>
      <c r="B6" s="56" t="s">
        <v>1</v>
      </c>
      <c r="C6" s="57"/>
      <c r="D6" s="1"/>
      <c r="E6" s="71" t="s">
        <v>10</v>
      </c>
      <c r="F6" s="1"/>
      <c r="G6" s="61"/>
      <c r="H6" s="68"/>
      <c r="I6" s="67"/>
      <c r="J6" s="68"/>
      <c r="K6" s="62"/>
      <c r="L6" s="80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</row>
    <row r="7" spans="1:48" ht="22.5" customHeight="1" thickBot="1" x14ac:dyDescent="0.3">
      <c r="A7" s="1"/>
      <c r="B7" s="4" t="s">
        <v>2</v>
      </c>
      <c r="C7" s="3" t="s">
        <v>3</v>
      </c>
      <c r="D7" s="1"/>
      <c r="E7" s="72"/>
      <c r="F7" s="1"/>
      <c r="G7" s="61"/>
      <c r="H7" s="68"/>
      <c r="I7" s="67"/>
      <c r="J7" s="68"/>
      <c r="K7" s="62"/>
      <c r="L7" s="80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</row>
    <row r="8" spans="1:48" ht="16.5" customHeight="1" x14ac:dyDescent="0.25">
      <c r="A8" s="1"/>
      <c r="B8" s="58">
        <v>0</v>
      </c>
      <c r="C8" s="58">
        <v>0</v>
      </c>
      <c r="D8" s="5"/>
      <c r="E8" s="73" t="str">
        <f>IF(I161=1,"X",IF(I161=0,"O",""))</f>
        <v>X</v>
      </c>
      <c r="F8" s="1"/>
      <c r="G8" s="84"/>
      <c r="H8" s="85"/>
      <c r="I8" s="87"/>
      <c r="J8" s="85"/>
      <c r="K8" s="90"/>
      <c r="L8" s="9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</row>
    <row r="9" spans="1:48" ht="28.5" customHeight="1" x14ac:dyDescent="0.25">
      <c r="A9" s="1"/>
      <c r="B9" s="59"/>
      <c r="C9" s="59"/>
      <c r="D9" s="5"/>
      <c r="E9" s="74"/>
      <c r="F9" s="1"/>
      <c r="G9" s="61"/>
      <c r="H9" s="68"/>
      <c r="I9" s="65"/>
      <c r="J9" s="92"/>
      <c r="K9" s="65"/>
      <c r="L9" s="93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</row>
    <row r="10" spans="1:48" x14ac:dyDescent="0.25">
      <c r="A10" s="1"/>
      <c r="B10" s="59"/>
      <c r="C10" s="59"/>
      <c r="D10" s="5"/>
      <c r="E10" s="74"/>
      <c r="F10" s="1"/>
      <c r="G10" s="61"/>
      <c r="H10" s="68"/>
      <c r="I10" s="67"/>
      <c r="J10" s="62"/>
      <c r="K10" s="67"/>
      <c r="L10" s="80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</row>
    <row r="11" spans="1:48" x14ac:dyDescent="0.25">
      <c r="A11" s="1"/>
      <c r="B11" s="59"/>
      <c r="C11" s="59"/>
      <c r="D11" s="5"/>
      <c r="E11" s="74"/>
      <c r="F11" s="1"/>
      <c r="G11" s="61"/>
      <c r="H11" s="68"/>
      <c r="I11" s="67"/>
      <c r="J11" s="62"/>
      <c r="K11" s="67"/>
      <c r="L11" s="80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</row>
    <row r="12" spans="1:48" x14ac:dyDescent="0.25">
      <c r="A12" s="1"/>
      <c r="B12" s="59"/>
      <c r="C12" s="59"/>
      <c r="D12" s="5"/>
      <c r="E12" s="74"/>
      <c r="F12" s="1"/>
      <c r="G12" s="84"/>
      <c r="H12" s="85"/>
      <c r="I12" s="87"/>
      <c r="J12" s="90"/>
      <c r="K12" s="87"/>
      <c r="L12" s="9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</row>
    <row r="13" spans="1:48" ht="29.25" customHeight="1" thickBot="1" x14ac:dyDescent="0.3">
      <c r="A13" s="1"/>
      <c r="B13" s="60"/>
      <c r="C13" s="60"/>
      <c r="D13" s="5"/>
      <c r="E13" s="75"/>
      <c r="F13" s="1"/>
      <c r="G13" s="61"/>
      <c r="H13" s="62"/>
      <c r="I13" s="65"/>
      <c r="J13" s="66"/>
      <c r="K13" s="67"/>
      <c r="L13" s="80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</row>
    <row r="14" spans="1:48" x14ac:dyDescent="0.25">
      <c r="A14" s="1"/>
      <c r="B14" s="1"/>
      <c r="C14" s="1"/>
      <c r="D14" s="1"/>
      <c r="E14" s="1"/>
      <c r="F14" s="1"/>
      <c r="G14" s="61"/>
      <c r="H14" s="62"/>
      <c r="I14" s="67"/>
      <c r="J14" s="68"/>
      <c r="K14" s="67"/>
      <c r="L14" s="80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</row>
    <row r="15" spans="1:48" x14ac:dyDescent="0.25">
      <c r="A15" s="1"/>
      <c r="B15" s="1"/>
      <c r="C15" s="1"/>
      <c r="D15" s="1"/>
      <c r="E15" s="1"/>
      <c r="F15" s="1"/>
      <c r="G15" s="61"/>
      <c r="H15" s="62"/>
      <c r="I15" s="67"/>
      <c r="J15" s="68"/>
      <c r="K15" s="67"/>
      <c r="L15" s="80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</row>
    <row r="16" spans="1:48" ht="15.75" thickBot="1" x14ac:dyDescent="0.3">
      <c r="A16" s="1"/>
      <c r="B16" s="1"/>
      <c r="C16" s="1"/>
      <c r="D16" s="1"/>
      <c r="E16" s="1"/>
      <c r="F16" s="1"/>
      <c r="G16" s="63"/>
      <c r="H16" s="64"/>
      <c r="I16" s="69"/>
      <c r="J16" s="70"/>
      <c r="K16" s="69"/>
      <c r="L16" s="8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</row>
    <row r="17" spans="1:48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 t="s">
        <v>0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</row>
    <row r="18" spans="1:48" ht="15" customHeight="1" x14ac:dyDescent="0.25">
      <c r="A18" s="1"/>
      <c r="B18" s="1"/>
      <c r="C18" s="1"/>
      <c r="D18" s="1"/>
      <c r="E18" s="1"/>
      <c r="F18" s="7"/>
      <c r="G18" s="7"/>
      <c r="H18" s="7"/>
      <c r="I18" s="7"/>
      <c r="J18" s="7"/>
      <c r="K18" s="7"/>
      <c r="L18" s="7"/>
      <c r="M18" s="7"/>
      <c r="N18" s="7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</row>
    <row r="19" spans="1:48" ht="15" customHeight="1" x14ac:dyDescent="0.25">
      <c r="A19" s="1"/>
      <c r="B19" s="1"/>
      <c r="C19" s="1"/>
      <c r="D19" s="1"/>
      <c r="E19" s="1"/>
      <c r="F19" s="7"/>
      <c r="G19" s="7"/>
      <c r="H19" s="7"/>
      <c r="I19" s="7"/>
      <c r="J19" s="7"/>
      <c r="K19" s="7"/>
      <c r="L19" s="7"/>
      <c r="M19" s="7"/>
      <c r="N19" s="7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</row>
    <row r="20" spans="1:48" ht="15" customHeight="1" x14ac:dyDescent="0.25">
      <c r="A20" s="1"/>
      <c r="B20" s="1"/>
      <c r="C20" s="1"/>
      <c r="D20" s="1"/>
      <c r="E20" s="1"/>
      <c r="F20" s="7"/>
      <c r="G20" s="7"/>
      <c r="H20" s="7"/>
      <c r="I20" s="7"/>
      <c r="J20" s="7"/>
      <c r="K20" s="7"/>
      <c r="L20" s="7"/>
      <c r="M20" s="7"/>
      <c r="N20" s="7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</row>
    <row r="21" spans="1:48" ht="15" customHeight="1" x14ac:dyDescent="0.25">
      <c r="A21" s="1"/>
      <c r="B21" s="1"/>
      <c r="C21" s="1"/>
      <c r="D21" s="1"/>
      <c r="E21" s="1"/>
      <c r="F21" s="7"/>
      <c r="G21" s="7"/>
      <c r="H21" s="7"/>
      <c r="I21" s="7"/>
      <c r="J21" s="7"/>
      <c r="K21" s="7"/>
      <c r="L21" s="7"/>
      <c r="M21" s="7"/>
      <c r="N21" s="7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</row>
    <row r="22" spans="1:48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</row>
    <row r="23" spans="1:48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</row>
    <row r="24" spans="1:48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</row>
    <row r="25" spans="1:48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</row>
    <row r="26" spans="1:48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</row>
    <row r="27" spans="1:48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</row>
    <row r="28" spans="1:48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</row>
    <row r="29" spans="1:48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</row>
    <row r="30" spans="1:48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</row>
    <row r="31" spans="1:48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</row>
    <row r="32" spans="1:48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</row>
    <row r="33" spans="1:48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</row>
    <row r="34" spans="1:48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</row>
    <row r="35" spans="1:48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</row>
    <row r="36" spans="1:48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</row>
    <row r="37" spans="1:48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</row>
    <row r="38" spans="1:48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</row>
    <row r="39" spans="1:48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</row>
    <row r="40" spans="1:48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</row>
    <row r="41" spans="1:48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</row>
    <row r="42" spans="1:48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</row>
    <row r="43" spans="1:48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</row>
    <row r="44" spans="1:48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</row>
    <row r="45" spans="1:48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</row>
    <row r="46" spans="1:48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</row>
    <row r="47" spans="1:48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</row>
    <row r="48" spans="1:48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</row>
    <row r="49" spans="1:48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</row>
    <row r="50" spans="1:48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</row>
    <row r="51" spans="1:48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</row>
    <row r="52" spans="1:48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</row>
    <row r="53" spans="1:48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</row>
    <row r="54" spans="1:48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</row>
    <row r="55" spans="1:48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</row>
    <row r="56" spans="1:48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</row>
    <row r="57" spans="1:48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</row>
    <row r="58" spans="1:48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</row>
    <row r="59" spans="1:48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</row>
    <row r="60" spans="1:48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</row>
    <row r="61" spans="1:48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</row>
    <row r="62" spans="1:48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</row>
    <row r="63" spans="1:48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</row>
    <row r="64" spans="1:48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</row>
    <row r="65" spans="1:48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</row>
    <row r="66" spans="1:48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</row>
    <row r="67" spans="1:48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</row>
    <row r="68" spans="1:48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</row>
    <row r="69" spans="1:48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</row>
    <row r="70" spans="1:48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</row>
    <row r="71" spans="1:48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</row>
    <row r="72" spans="1:48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</row>
    <row r="73" spans="1:48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</row>
    <row r="74" spans="1:48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</row>
    <row r="75" spans="1:48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</row>
    <row r="76" spans="1:48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</row>
    <row r="77" spans="1:48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</row>
    <row r="78" spans="1:48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</row>
    <row r="79" spans="1:48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</row>
    <row r="80" spans="1:48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</row>
    <row r="81" spans="1:48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</row>
    <row r="82" spans="1:48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</row>
    <row r="83" spans="1:48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</row>
    <row r="84" spans="1:48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</row>
    <row r="85" spans="1:48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</row>
    <row r="86" spans="1:48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</row>
    <row r="87" spans="1:48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</row>
    <row r="88" spans="1:48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</row>
    <row r="89" spans="1:48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</row>
    <row r="90" spans="1:48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</row>
    <row r="91" spans="1:48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</row>
    <row r="92" spans="1:48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</row>
    <row r="93" spans="1:48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</row>
    <row r="94" spans="1:48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</row>
    <row r="95" spans="1:48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</row>
    <row r="96" spans="1:48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</row>
    <row r="97" spans="1:48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</row>
    <row r="98" spans="1:48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</row>
    <row r="99" spans="1:48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</row>
    <row r="100" spans="1:48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</row>
    <row r="101" spans="1:48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</row>
    <row r="102" spans="1:48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</row>
    <row r="103" spans="1:48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</row>
    <row r="104" spans="1:48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</row>
    <row r="105" spans="1:48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</row>
    <row r="106" spans="1:48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</row>
    <row r="107" spans="1:48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</row>
    <row r="108" spans="1:48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</row>
    <row r="109" spans="1:48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</row>
    <row r="110" spans="1:48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</row>
    <row r="111" spans="1:48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</row>
    <row r="112" spans="1:48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</row>
    <row r="113" spans="1:48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</row>
    <row r="114" spans="1:48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</row>
    <row r="115" spans="1:48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</row>
    <row r="116" spans="1:48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</row>
    <row r="117" spans="1:48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</row>
    <row r="118" spans="1:48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</row>
    <row r="119" spans="1:48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</row>
    <row r="120" spans="1:48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</row>
    <row r="121" spans="1:48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</row>
    <row r="122" spans="1:48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</row>
    <row r="123" spans="1:48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</row>
    <row r="124" spans="1:48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</row>
    <row r="125" spans="1:48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</row>
    <row r="126" spans="1:48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</row>
    <row r="127" spans="1:48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</row>
    <row r="128" spans="1:48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</row>
    <row r="129" spans="1:48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</row>
    <row r="130" spans="1:48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</row>
    <row r="131" spans="1:48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</row>
    <row r="132" spans="1:48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</row>
    <row r="133" spans="1:48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</row>
    <row r="134" spans="1:48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</row>
    <row r="135" spans="1:48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</row>
    <row r="136" spans="1:48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</row>
    <row r="137" spans="1:48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</row>
    <row r="138" spans="1:48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</row>
    <row r="139" spans="1:48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</row>
    <row r="140" spans="1:48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</row>
    <row r="141" spans="1:48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</row>
    <row r="142" spans="1:48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</row>
    <row r="143" spans="1:48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</row>
    <row r="144" spans="1:48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</row>
    <row r="145" spans="1:48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</row>
    <row r="146" spans="1:48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</row>
    <row r="147" spans="1:48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</row>
    <row r="148" spans="1:48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</row>
    <row r="149" spans="1:48" ht="15.75" thickBot="1" x14ac:dyDescent="0.3">
      <c r="A149" s="12"/>
      <c r="B149" s="12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</row>
    <row r="150" spans="1:48" ht="15.75" thickBot="1" x14ac:dyDescent="0.3">
      <c r="A150" s="30">
        <v>1</v>
      </c>
      <c r="B150" s="31">
        <f>MOD(A150,2)</f>
        <v>1</v>
      </c>
      <c r="C150" s="24"/>
      <c r="D150" s="13"/>
      <c r="E150" s="27">
        <f>G5</f>
        <v>0</v>
      </c>
      <c r="F150" s="27">
        <f>I5</f>
        <v>0</v>
      </c>
      <c r="G150" s="27">
        <f>K5</f>
        <v>0</v>
      </c>
      <c r="H150" s="41"/>
      <c r="I150" s="28" t="str">
        <f>IF(E150=0,"1",E150)</f>
        <v>1</v>
      </c>
      <c r="J150" s="28" t="str">
        <f>IF(F150=0,"2",F150)</f>
        <v>2</v>
      </c>
      <c r="K150" s="28" t="str">
        <f>IF(G150=0,"3",G150)</f>
        <v>3</v>
      </c>
      <c r="L150" s="41"/>
      <c r="M150" s="29">
        <f>IF(E150=0,0,1)</f>
        <v>0</v>
      </c>
      <c r="N150" s="29">
        <f t="shared" ref="N150:O150" si="0">IF(F150=0,0,1)</f>
        <v>0</v>
      </c>
      <c r="O150" s="29">
        <f t="shared" si="0"/>
        <v>0</v>
      </c>
      <c r="P150" s="13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</row>
    <row r="151" spans="1:48" x14ac:dyDescent="0.25">
      <c r="A151" s="13"/>
      <c r="B151" s="13"/>
      <c r="C151" s="6"/>
      <c r="D151" s="6"/>
      <c r="E151" s="8">
        <f>G9</f>
        <v>0</v>
      </c>
      <c r="F151" s="8">
        <f>I9</f>
        <v>0</v>
      </c>
      <c r="G151" s="8">
        <f>K9</f>
        <v>0</v>
      </c>
      <c r="H151" s="41"/>
      <c r="I151" s="9" t="str">
        <f>IF(E151=0,"4",E151)</f>
        <v>4</v>
      </c>
      <c r="J151" s="9" t="str">
        <f>IF(F151=0,"5",F151)</f>
        <v>5</v>
      </c>
      <c r="K151" s="9" t="str">
        <f>IF(G151=0,"6",G151)</f>
        <v>6</v>
      </c>
      <c r="L151" s="41"/>
      <c r="M151" s="26">
        <f t="shared" ref="M151:M152" si="1">IF(E151=0,0,1)</f>
        <v>0</v>
      </c>
      <c r="N151" s="26">
        <f t="shared" ref="N151:N152" si="2">IF(F151=0,0,1)</f>
        <v>0</v>
      </c>
      <c r="O151" s="26">
        <f t="shared" ref="O151:O152" si="3">IF(G151=0,0,1)</f>
        <v>0</v>
      </c>
      <c r="P151" s="6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</row>
    <row r="152" spans="1:48" x14ac:dyDescent="0.25">
      <c r="A152" s="6"/>
      <c r="B152" s="6"/>
      <c r="C152" s="6"/>
      <c r="D152" s="6"/>
      <c r="E152" s="8">
        <f>G13</f>
        <v>0</v>
      </c>
      <c r="F152" s="8">
        <f>I13</f>
        <v>0</v>
      </c>
      <c r="G152" s="8">
        <f>K13</f>
        <v>0</v>
      </c>
      <c r="H152" s="41"/>
      <c r="I152" s="9" t="str">
        <f>IF(E152=0,"7",E152)</f>
        <v>7</v>
      </c>
      <c r="J152" s="9" t="str">
        <f>IF(F152=0,"8",F152)</f>
        <v>8</v>
      </c>
      <c r="K152" s="9" t="str">
        <f>IF(G152=0,"9",G152)</f>
        <v>9</v>
      </c>
      <c r="L152" s="55"/>
      <c r="M152" s="26">
        <f t="shared" si="1"/>
        <v>0</v>
      </c>
      <c r="N152" s="26">
        <f t="shared" si="2"/>
        <v>0</v>
      </c>
      <c r="O152" s="26">
        <f t="shared" si="3"/>
        <v>0</v>
      </c>
      <c r="P152" s="6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</row>
    <row r="153" spans="1:48" x14ac:dyDescent="0.25">
      <c r="A153" s="6"/>
      <c r="B153" s="6"/>
      <c r="C153" s="6"/>
      <c r="D153" s="6"/>
      <c r="E153" s="6"/>
      <c r="F153" s="6"/>
      <c r="G153" s="6"/>
      <c r="H153" s="10"/>
      <c r="I153" s="6"/>
      <c r="J153" s="6"/>
      <c r="K153" s="6"/>
      <c r="L153" s="6"/>
      <c r="M153" s="6"/>
      <c r="N153" s="25"/>
      <c r="O153" s="25"/>
      <c r="P153" s="25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</row>
    <row r="154" spans="1:48" ht="15.75" thickBot="1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J154" s="6"/>
      <c r="K154" s="6"/>
      <c r="L154" s="6"/>
      <c r="M154" s="6"/>
      <c r="N154" s="25"/>
      <c r="O154" s="25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</row>
    <row r="155" spans="1:48" ht="15.75" thickBot="1" x14ac:dyDescent="0.3">
      <c r="A155" s="19" t="s">
        <v>4</v>
      </c>
      <c r="B155" s="16" t="s">
        <v>7</v>
      </c>
      <c r="C155" s="20" t="s">
        <v>8</v>
      </c>
      <c r="D155" s="18"/>
      <c r="E155" s="17"/>
      <c r="F155" s="17"/>
      <c r="G155" s="11"/>
      <c r="H155" s="6"/>
      <c r="I155" s="6"/>
      <c r="J155" s="12"/>
      <c r="K155" s="12"/>
      <c r="L155" s="12"/>
      <c r="M155" s="6"/>
      <c r="N155" s="25"/>
      <c r="O155" s="25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</row>
    <row r="156" spans="1:48" x14ac:dyDescent="0.25">
      <c r="A156" s="14">
        <v>123</v>
      </c>
      <c r="B156" s="14" t="b">
        <f>IF(K150=I150,IF(I150=J150,TRUE,FALSE),FALSE)</f>
        <v>0</v>
      </c>
      <c r="C156" s="14" t="str">
        <f>I150</f>
        <v>1</v>
      </c>
      <c r="D156" s="17"/>
      <c r="E156" s="17"/>
      <c r="F156" s="17"/>
      <c r="G156" s="11"/>
      <c r="H156" s="6"/>
      <c r="I156" s="21"/>
      <c r="J156" s="49" t="s">
        <v>9</v>
      </c>
      <c r="K156" s="50"/>
      <c r="L156" s="22"/>
      <c r="M156" s="42" t="s">
        <v>4</v>
      </c>
      <c r="N156" s="43"/>
      <c r="O156" s="44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</row>
    <row r="157" spans="1:48" ht="12.75" customHeight="1" x14ac:dyDescent="0.25">
      <c r="A157" s="14">
        <v>456</v>
      </c>
      <c r="B157" s="14" t="b">
        <f>IF(K151=I151,IF(I151=J151,TRUE,FALSE),FALSE)</f>
        <v>0</v>
      </c>
      <c r="C157" s="14" t="str">
        <f>I151</f>
        <v>4</v>
      </c>
      <c r="D157" s="17"/>
      <c r="E157" s="45" t="s">
        <v>5</v>
      </c>
      <c r="F157" s="46"/>
      <c r="G157" s="47" t="s">
        <v>6</v>
      </c>
      <c r="H157" s="48"/>
      <c r="I157" s="21"/>
      <c r="J157" s="51" t="b">
        <f>AND(A150=10,E158=FALSE)</f>
        <v>0</v>
      </c>
      <c r="K157" s="52"/>
      <c r="L157" s="18"/>
      <c r="M157" s="15">
        <v>1</v>
      </c>
      <c r="N157" s="15">
        <v>2</v>
      </c>
      <c r="O157" s="15">
        <v>3</v>
      </c>
      <c r="P157" s="6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</row>
    <row r="158" spans="1:48" ht="15" customHeight="1" x14ac:dyDescent="0.25">
      <c r="A158" s="14">
        <v>789</v>
      </c>
      <c r="B158" s="14" t="b">
        <f t="shared" ref="B158" si="4">IF(K152=I152,IF(I152=J152,TRUE,FALSE),FALSE)</f>
        <v>0</v>
      </c>
      <c r="C158" s="14" t="str">
        <f>I152</f>
        <v>7</v>
      </c>
      <c r="D158" s="17"/>
      <c r="E158" s="33" t="b">
        <f>IF(OR(B156=TRUE,B157=TRUE,B158=TRUE,B159=TRUE,B160=TRUE,B161=TRUE,B162=TRUE,B163=TRUE),TRUE,FALSE)</f>
        <v>0</v>
      </c>
      <c r="F158" s="34"/>
      <c r="G158" s="37" t="str">
        <f>IF(B156=TRUE,C156,IF(B157=TRUE,C157,IF(B158=TRUE,C158,IF(B159=TRUE,C159,IF(B160=TRUE,C160,IF(B161=TRUE,C161,IF(B162=TRUE,C162,IF(B163=TRUE,C163,""))))))))</f>
        <v/>
      </c>
      <c r="H158" s="38"/>
      <c r="I158" s="21"/>
      <c r="J158" s="51"/>
      <c r="K158" s="52"/>
      <c r="L158" s="23"/>
      <c r="M158" s="15">
        <v>4</v>
      </c>
      <c r="N158" s="15">
        <v>5</v>
      </c>
      <c r="O158" s="15">
        <v>6</v>
      </c>
      <c r="P158" s="6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</row>
    <row r="159" spans="1:48" ht="15.75" thickBot="1" x14ac:dyDescent="0.3">
      <c r="A159" s="14">
        <v>147</v>
      </c>
      <c r="B159" s="14" t="b">
        <f>AND(I150=I151,I152=I150)</f>
        <v>0</v>
      </c>
      <c r="C159" s="14" t="str">
        <f>I150</f>
        <v>1</v>
      </c>
      <c r="D159" s="17"/>
      <c r="E159" s="35"/>
      <c r="F159" s="36"/>
      <c r="G159" s="39"/>
      <c r="H159" s="40"/>
      <c r="I159" s="21"/>
      <c r="J159" s="53"/>
      <c r="K159" s="54"/>
      <c r="L159" s="24"/>
      <c r="M159" s="15">
        <v>7</v>
      </c>
      <c r="N159" s="15">
        <v>8</v>
      </c>
      <c r="O159" s="15">
        <v>9</v>
      </c>
      <c r="P159" s="6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</row>
    <row r="160" spans="1:48" ht="15.75" thickBot="1" x14ac:dyDescent="0.3">
      <c r="A160" s="14">
        <v>258</v>
      </c>
      <c r="B160" s="14" t="b">
        <f>AND(J150=J151,J152=J150)</f>
        <v>0</v>
      </c>
      <c r="C160" s="14" t="str">
        <f>J150</f>
        <v>2</v>
      </c>
      <c r="D160" s="17"/>
      <c r="E160" s="17"/>
      <c r="F160" s="17"/>
      <c r="G160" s="11"/>
      <c r="H160" s="6"/>
      <c r="I160" s="12"/>
      <c r="J160" s="32"/>
      <c r="K160" s="13"/>
      <c r="L160" s="6"/>
      <c r="M160" s="12"/>
      <c r="N160" s="12"/>
      <c r="O160" s="6"/>
      <c r="P160" s="6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</row>
    <row r="161" spans="1:42" x14ac:dyDescent="0.25">
      <c r="A161" s="14">
        <v>369</v>
      </c>
      <c r="B161" s="14" t="b">
        <f>AND(K150=K151,K152=K150)</f>
        <v>0</v>
      </c>
      <c r="C161" s="14" t="str">
        <f>K150</f>
        <v>3</v>
      </c>
      <c r="D161" s="17"/>
      <c r="E161" s="17"/>
      <c r="F161" s="17"/>
      <c r="G161" s="11"/>
      <c r="H161" s="21"/>
      <c r="I161" s="76">
        <f>IF(SUM(M150:O152)=9,"",B150)</f>
        <v>1</v>
      </c>
      <c r="J161" s="77"/>
      <c r="K161" s="11"/>
      <c r="L161" s="6"/>
      <c r="M161" s="6"/>
      <c r="N161" s="6"/>
      <c r="O161" s="6"/>
      <c r="P161" s="6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</row>
    <row r="162" spans="1:42" ht="15.75" thickBot="1" x14ac:dyDescent="0.3">
      <c r="A162" s="14">
        <v>159</v>
      </c>
      <c r="B162" s="14" t="b">
        <f>AND(I150=J151,K152=I150)</f>
        <v>0</v>
      </c>
      <c r="C162" s="14" t="str">
        <f>I150</f>
        <v>1</v>
      </c>
      <c r="D162" s="17"/>
      <c r="E162" s="17"/>
      <c r="F162" s="17"/>
      <c r="G162" s="11"/>
      <c r="H162" s="21"/>
      <c r="I162" s="78"/>
      <c r="J162" s="79"/>
      <c r="K162" s="11"/>
      <c r="L162" s="6"/>
      <c r="M162" s="6"/>
      <c r="N162" s="6"/>
      <c r="O162" s="6"/>
      <c r="P162" s="6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</row>
    <row r="163" spans="1:42" x14ac:dyDescent="0.25">
      <c r="A163" s="14">
        <v>357</v>
      </c>
      <c r="B163" s="14" t="b">
        <f>AND(K150=J151,I152=K150)</f>
        <v>0</v>
      </c>
      <c r="C163" s="14" t="str">
        <f>K150</f>
        <v>3</v>
      </c>
      <c r="D163" s="17"/>
      <c r="E163" s="17"/>
      <c r="F163" s="17"/>
      <c r="G163" s="11"/>
      <c r="H163" s="6"/>
      <c r="I163" s="13"/>
      <c r="J163" s="13"/>
      <c r="K163" s="6"/>
      <c r="L163" s="6"/>
      <c r="M163" s="6"/>
      <c r="N163" s="6"/>
      <c r="O163" s="6"/>
      <c r="P163" s="6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</row>
    <row r="164" spans="1:42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6"/>
      <c r="K164" s="6"/>
      <c r="L164" s="6"/>
      <c r="M164" s="6"/>
      <c r="N164" s="6"/>
      <c r="O164" s="6"/>
      <c r="P164" s="6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</row>
    <row r="165" spans="1:4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4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4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4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4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4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4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4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4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4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4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4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48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48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48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48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48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48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48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48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48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48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48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</row>
    <row r="252" spans="1:48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</row>
    <row r="253" spans="1:48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</row>
    <row r="254" spans="1:48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</row>
    <row r="255" spans="1:48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</row>
    <row r="256" spans="1:48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</row>
    <row r="257" spans="1:48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</row>
    <row r="258" spans="1:48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</row>
    <row r="259" spans="1:48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</row>
    <row r="260" spans="1:48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</row>
    <row r="261" spans="1:48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</row>
  </sheetData>
  <mergeCells count="24">
    <mergeCell ref="I161:J162"/>
    <mergeCell ref="K13:L16"/>
    <mergeCell ref="G5:H8"/>
    <mergeCell ref="I5:J8"/>
    <mergeCell ref="K5:L8"/>
    <mergeCell ref="G9:H12"/>
    <mergeCell ref="I9:J12"/>
    <mergeCell ref="K9:L12"/>
    <mergeCell ref="B6:C6"/>
    <mergeCell ref="B8:B13"/>
    <mergeCell ref="C8:C13"/>
    <mergeCell ref="G13:H16"/>
    <mergeCell ref="I13:J16"/>
    <mergeCell ref="E6:E7"/>
    <mergeCell ref="E8:E13"/>
    <mergeCell ref="E158:F159"/>
    <mergeCell ref="G158:H159"/>
    <mergeCell ref="H150:H152"/>
    <mergeCell ref="M156:O156"/>
    <mergeCell ref="E157:F157"/>
    <mergeCell ref="G157:H157"/>
    <mergeCell ref="J156:K156"/>
    <mergeCell ref="J157:K159"/>
    <mergeCell ref="L150:L152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>
                  <from>
                    <xdr:col>15</xdr:col>
                    <xdr:colOff>400050</xdr:colOff>
                    <xdr:row>10</xdr:row>
                    <xdr:rowOff>152400</xdr:rowOff>
                  </from>
                  <to>
                    <xdr:col>19</xdr:col>
                    <xdr:colOff>257175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start">
                <anchor moveWithCells="1">
                  <from>
                    <xdr:col>15</xdr:col>
                    <xdr:colOff>371475</xdr:colOff>
                    <xdr:row>4</xdr:row>
                    <xdr:rowOff>9525</xdr:rowOff>
                  </from>
                  <to>
                    <xdr:col>19</xdr:col>
                    <xdr:colOff>228600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button1">
                <anchor moveWithCells="1" sizeWithCells="1">
                  <from>
                    <xdr:col>7</xdr:col>
                    <xdr:colOff>200025</xdr:colOff>
                    <xdr:row>6</xdr:row>
                    <xdr:rowOff>171450</xdr:rowOff>
                  </from>
                  <to>
                    <xdr:col>7</xdr:col>
                    <xdr:colOff>552450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button2">
                <anchor moveWithCells="1" sizeWithCells="1">
                  <from>
                    <xdr:col>9</xdr:col>
                    <xdr:colOff>209550</xdr:colOff>
                    <xdr:row>6</xdr:row>
                    <xdr:rowOff>171450</xdr:rowOff>
                  </from>
                  <to>
                    <xdr:col>9</xdr:col>
                    <xdr:colOff>561975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button3">
                <anchor moveWithCells="1" sizeWithCells="1">
                  <from>
                    <xdr:col>11</xdr:col>
                    <xdr:colOff>219075</xdr:colOff>
                    <xdr:row>6</xdr:row>
                    <xdr:rowOff>190500</xdr:rowOff>
                  </from>
                  <to>
                    <xdr:col>11</xdr:col>
                    <xdr:colOff>571500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button4">
                <anchor moveWithCells="1" sizeWithCells="1">
                  <from>
                    <xdr:col>7</xdr:col>
                    <xdr:colOff>219075</xdr:colOff>
                    <xdr:row>10</xdr:row>
                    <xdr:rowOff>47625</xdr:rowOff>
                  </from>
                  <to>
                    <xdr:col>7</xdr:col>
                    <xdr:colOff>571500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button5">
                <anchor moveWithCells="1" sizeWithCells="1">
                  <from>
                    <xdr:col>9</xdr:col>
                    <xdr:colOff>200025</xdr:colOff>
                    <xdr:row>10</xdr:row>
                    <xdr:rowOff>57150</xdr:rowOff>
                  </from>
                  <to>
                    <xdr:col>9</xdr:col>
                    <xdr:colOff>561975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1" name="Button 30">
              <controlPr defaultSize="0" print="0" autoFill="0" autoPict="0" macro="[0]!button6">
                <anchor moveWithCells="1" sizeWithCells="1">
                  <from>
                    <xdr:col>11</xdr:col>
                    <xdr:colOff>228600</xdr:colOff>
                    <xdr:row>10</xdr:row>
                    <xdr:rowOff>57150</xdr:rowOff>
                  </from>
                  <to>
                    <xdr:col>11</xdr:col>
                    <xdr:colOff>581025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2" name="Button 31">
              <controlPr defaultSize="0" print="0" autoFill="0" autoPict="0" macro="[0]!button7">
                <anchor moveWithCells="1" sizeWithCells="1">
                  <from>
                    <xdr:col>7</xdr:col>
                    <xdr:colOff>200025</xdr:colOff>
                    <xdr:row>14</xdr:row>
                    <xdr:rowOff>66675</xdr:rowOff>
                  </from>
                  <to>
                    <xdr:col>7</xdr:col>
                    <xdr:colOff>561975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3" name="Button 32">
              <controlPr defaultSize="0" print="0" autoFill="0" autoPict="0" macro="[0]!button8">
                <anchor moveWithCells="1" sizeWithCells="1">
                  <from>
                    <xdr:col>9</xdr:col>
                    <xdr:colOff>200025</xdr:colOff>
                    <xdr:row>14</xdr:row>
                    <xdr:rowOff>38100</xdr:rowOff>
                  </from>
                  <to>
                    <xdr:col>9</xdr:col>
                    <xdr:colOff>561975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4" name="Button 33">
              <controlPr defaultSize="0" print="0" autoFill="0" autoPict="0" macro="[0]!button9">
                <anchor moveWithCells="1" sizeWithCells="1">
                  <from>
                    <xdr:col>11</xdr:col>
                    <xdr:colOff>190500</xdr:colOff>
                    <xdr:row>14</xdr:row>
                    <xdr:rowOff>57150</xdr:rowOff>
                  </from>
                  <to>
                    <xdr:col>11</xdr:col>
                    <xdr:colOff>552450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Tic_Tac_Toe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TicTacToe using Macro</dc:title>
  <dc:creator>Prince</dc:creator>
  <cp:lastModifiedBy>Prince</cp:lastModifiedBy>
  <dcterms:created xsi:type="dcterms:W3CDTF">2020-07-30T04:29:59Z</dcterms:created>
  <dcterms:modified xsi:type="dcterms:W3CDTF">2021-10-01T17:21:29Z</dcterms:modified>
</cp:coreProperties>
</file>